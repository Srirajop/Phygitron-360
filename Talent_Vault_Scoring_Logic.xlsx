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ing Logic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<sst xmlns="http://schemas.openxmlformats.org/spreadsheetml/2006/main" count="51" uniqueCount="45">
  <si>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Phygitron360 Talent Vault - Candidate Role-Fit Scoring Logic</t>
  </si>
  <si>
    <t>1. Skill Level Weights</t>
  </si>
  <si>
    <t>Proficiency Level</t>
  </si>
  <si>
    <t>Weight (Points)</t>
  </si>
  <si>
    <t>Beginner</t>
  </si>
  <si>
    <t>Intermediate</t>
  </si>
  <si>
    <t>Advanced</t>
  </si>
  <si>
    <t>Expert</t>
  </si>
  <si>
    <t>2. Text Similarity (Fuzzy Matching)</t>
  </si>
  <si>
    <t>Match Type</t>
  </si>
  <si>
    <t>Multiplier</t>
  </si>
  <si>
    <t>Exact Match (e.g. "Python" == "Python")</t>
  </si>
  <si>
    <t>Close Match (e.g. "ReactJS" == "React.js")</t>
  </si>
  <si>
    <t>Token Sub-match (e.g. "React" == "React Native")</t>
  </si>
  <si>
    <t>No Match</t>
  </si>
  <si>
    <t>3. Example Scenario Calculation</t>
  </si>
  <si>
    <t>Job Requirements</t>
  </si>
  <si>
    <t>Required Skill</t>
  </si>
  <si>
    <t>Required Level</t>
  </si>
  <si>
    <t>Weight (Max Pts)</t>
  </si>
  <si>
    <t>Python</t>
  </si>
  <si>
    <t>React</t>
  </si>
  <si>
    <t>AWS</t>
  </si>
  <si>
    <t>Total Required Weight:</t>
  </si>
  <si>
    <t>Candidate Profile</t>
  </si>
  <si>
    <t>Candidate Skill</t>
  </si>
  <si>
    <t>Candidate Level</t>
  </si>
  <si>
    <t>Level Weight</t>
  </si>
  <si>
    <t>Similarity</t>
  </si>
  <si>
    <t>Level Penalty Ratio (sqrt(cand/req))</t>
  </si>
  <si>
    <t>Earned Points</t>
  </si>
  <si>
    <t>React.js</t>
  </si>
  <si>
    <t>- (Missing)</t>
  </si>
  <si>
    <t>-</t>
  </si>
  <si>
    <t>Total Earned Points:</t>
  </si>
  <si>
    <t>4. Final Curve &amp; Score</t>
  </si>
  <si>
    <t>Raw Mathematical Match:</t>
  </si>
  <si>
    <t>(Earned Points / Total Required Points)</t>
  </si>
  <si>
    <t>Curve Boost Formula:</t>
  </si>
  <si>
    <t>Algorithmic boost to ensure realistic grading (e.g. 64% raw = 80% final)</t>
  </si>
  <si>
    <t>Boosted ATS Score:</t>
  </si>
  <si>
    <t>Experience Penalty:</t>
  </si>
  <si>
    <t>-10.0%</t>
  </si>
  <si>
    <t>If candidate has less exp than required (soft penalty)</t>
  </si>
  <si>
    <t>FINAL ROLE-FIT SCORE: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</si>
</sst>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%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25.7109375" customWidth="1"/>
    <col min="2" max="5" width="20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D3" s="2" t="s">
        <v>8</v>
      </c>
    </row>
    <row r="4" spans="1:6">
      <c r="A4" s="3" t="s">
        <v>2</v>
      </c>
      <c r="B4" s="3" t="s">
        <v>3</v>
      </c>
      <c r="D4" s="3" t="s">
        <v>9</v>
      </c>
      <c r="E4" s="3" t="s">
        <v>10</v>
      </c>
    </row>
    <row r="5" spans="1:6">
      <c r="A5" s="4" t="s">
        <v>4</v>
      </c>
      <c r="B5" s="4">
        <v>1</v>
      </c>
      <c r="D5" s="4" t="s">
        <v>11</v>
      </c>
      <c r="E5" s="4">
        <v>1</v>
      </c>
    </row>
    <row r="6" spans="1:6">
      <c r="A6" s="4" t="s">
        <v>5</v>
      </c>
      <c r="B6" s="4">
        <v>2</v>
      </c>
      <c r="D6" s="4" t="s">
        <v>12</v>
      </c>
      <c r="E6" s="4">
        <v>0.95</v>
      </c>
    </row>
    <row r="7" spans="1:6">
      <c r="A7" s="4" t="s">
        <v>6</v>
      </c>
      <c r="B7" s="4">
        <v>3</v>
      </c>
      <c r="D7" s="4" t="s">
        <v>13</v>
      </c>
      <c r="E7" s="4">
        <v>0.9</v>
      </c>
    </row>
    <row r="8" spans="1:6">
      <c r="A8" s="4" t="s">
        <v>7</v>
      </c>
      <c r="B8" s="4">
        <v>4</v>
      </c>
      <c r="D8" s="4" t="s">
        <v>14</v>
      </c>
      <c r="E8" s="4">
        <v>0</v>
      </c>
    </row>
    <row r="11" spans="1:6">
      <c r="A11" s="2" t="s">
        <v>15</v>
      </c>
    </row>
    <row r="12" spans="1:6">
      <c r="A12" s="3" t="s">
        <v>16</v>
      </c>
    </row>
    <row r="13" spans="1:6">
      <c r="A13" s="3" t="s">
        <v>17</v>
      </c>
      <c r="B13" s="3" t="s">
        <v>18</v>
      </c>
      <c r="C13" s="3" t="s">
        <v>19</v>
      </c>
    </row>
    <row r="14" spans="1:6">
      <c r="A14" s="4" t="s">
        <v>20</v>
      </c>
      <c r="B14" s="4" t="s">
        <v>7</v>
      </c>
      <c r="C14" s="4">
        <v>4</v>
      </c>
    </row>
    <row r="15" spans="1:6">
      <c r="A15" s="4" t="s">
        <v>21</v>
      </c>
      <c r="B15" s="4" t="s">
        <v>6</v>
      </c>
      <c r="C15" s="4">
        <v>3</v>
      </c>
    </row>
    <row r="16" spans="1:6">
      <c r="A16" s="4" t="s">
        <v>22</v>
      </c>
      <c r="B16" s="4" t="s">
        <v>5</v>
      </c>
      <c r="C16" s="4">
        <v>2</v>
      </c>
    </row>
    <row r="17" spans="1:6">
      <c r="B17" s="2" t="s">
        <v>23</v>
      </c>
      <c r="C17" s="5">
        <v>9</v>
      </c>
    </row>
    <row r="19" spans="1:6">
      <c r="A19" s="3" t="s">
        <v>24</v>
      </c>
    </row>
    <row r="20" spans="1:6">
      <c r="A20" s="3" t="s">
        <v>25</v>
      </c>
      <c r="B20" s="3" t="s">
        <v>26</v>
      </c>
      <c r="C20" s="3" t="s">
        <v>27</v>
      </c>
      <c r="D20" s="3" t="s">
        <v>28</v>
      </c>
      <c r="E20" s="3" t="s">
        <v>29</v>
      </c>
      <c r="F20" s="3" t="s">
        <v>30</v>
      </c>
    </row>
    <row r="21" spans="1:6">
      <c r="A21" s="4" t="s">
        <v>20</v>
      </c>
      <c r="B21" s="4" t="s">
        <v>6</v>
      </c>
      <c r="C21" s="4">
        <v>3</v>
      </c>
      <c r="D21" s="4">
        <v>1</v>
      </c>
      <c r="E21" s="4">
        <f>MIN((3/4)^0.5, 1)</f>
        <v>0</v>
      </c>
      <c r="F21" s="6">
        <f>C14*D21*E21</f>
        <v>0</v>
      </c>
    </row>
    <row r="22" spans="1:6">
      <c r="A22" s="4" t="s">
        <v>31</v>
      </c>
      <c r="B22" s="4" t="s">
        <v>7</v>
      </c>
      <c r="C22" s="4">
        <v>4</v>
      </c>
      <c r="D22" s="4">
        <v>0.95</v>
      </c>
      <c r="E22" s="4">
        <f>MIN((4/3)^0.5, 1)</f>
        <v>0</v>
      </c>
      <c r="F22" s="6">
        <f>C15*D22*E22</f>
        <v>0</v>
      </c>
    </row>
    <row r="23" spans="1:6">
      <c r="A23" s="4" t="s">
        <v>32</v>
      </c>
      <c r="B23" s="4" t="s">
        <v>33</v>
      </c>
      <c r="C23" s="4">
        <v>0</v>
      </c>
      <c r="D23" s="4">
        <v>0</v>
      </c>
      <c r="E23" s="4">
        <v>0</v>
      </c>
      <c r="F23" s="6">
        <v>0</v>
      </c>
    </row>
    <row r="24" spans="1:6">
      <c r="E24" s="2" t="s">
        <v>34</v>
      </c>
      <c r="F24" s="5">
        <f>SUM(F21:F23)</f>
        <v>0</v>
      </c>
    </row>
    <row r="26" spans="1:6">
      <c r="A26" s="2" t="s">
        <v>35</v>
      </c>
    </row>
    <row r="27" spans="1:6">
      <c r="A27" s="4" t="s">
        <v>36</v>
      </c>
      <c r="B27" s="7">
        <f>F24/C17</f>
        <v>0</v>
      </c>
      <c r="C27" s="4" t="s">
        <v>37</v>
      </c>
    </row>
    <row r="28" spans="1:6">
      <c r="A28" s="4" t="s">
        <v>38</v>
      </c>
      <c r="B28" s="8">
        <f>(Raw^0.5)*100%</f>
        <v>0</v>
      </c>
      <c r="C28" s="4" t="s">
        <v>39</v>
      </c>
    </row>
    <row r="29" spans="1:6">
      <c r="A29" s="2" t="s">
        <v>40</v>
      </c>
      <c r="B29" s="7">
        <f>(B27^0.5)</f>
        <v>0</v>
      </c>
    </row>
    <row r="30" spans="1:6">
      <c r="A30" s="4" t="s">
        <v>41</v>
      </c>
      <c r="B30" s="8" t="s">
        <v>42</v>
      </c>
      <c r="C30" s="4" t="s">
        <v>43</v>
      </c>
    </row>
    <row r="31" spans="1:6">
      <c r="A31" s="5" t="s">
        <v>44</v>
      </c>
      <c r="B31" s="7">
        <f>B29-0.10</f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Logic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2026-07-02T09:43:40Z</dcterms:created>
  <dcterms:modified xsi:type="dcterms:W3CDTF">2026-07-02T09:43:40Z</dcterms:modified>
</cp:coreProperties>
</file>